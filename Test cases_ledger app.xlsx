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7452F9D9-CD4D-4FC9-B5DB-A57281B744CE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over" sheetId="1" r:id="rId1"/>
    <sheet name="All Test Cases" sheetId="2" r:id="rId2"/>
    <sheet name="Summary Dashboard" sheetId="3" r:id="rId3"/>
    <sheet name="Bug Log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3" l="1"/>
  <c r="F22" i="3"/>
  <c r="E22" i="3"/>
  <c r="D22" i="3"/>
  <c r="C22" i="3"/>
  <c r="H21" i="3"/>
  <c r="H20" i="3"/>
  <c r="H19" i="3"/>
  <c r="H18" i="3"/>
  <c r="H17" i="3"/>
  <c r="H16" i="3"/>
  <c r="H15" i="3"/>
  <c r="H14" i="3"/>
  <c r="H13" i="3"/>
  <c r="H12" i="3"/>
  <c r="H11" i="3"/>
  <c r="H10" i="3"/>
  <c r="G6" i="3"/>
  <c r="F6" i="3"/>
  <c r="E6" i="3"/>
  <c r="D6" i="3"/>
  <c r="C6" i="3"/>
  <c r="H6" i="3" s="1"/>
</calcChain>
</file>

<file path=xl/sharedStrings.xml><?xml version="1.0" encoding="utf-8"?>
<sst xmlns="http://schemas.openxmlformats.org/spreadsheetml/2006/main" count="393" uniqueCount="267">
  <si>
    <t>⚡  RAJ ELECTRONICS LEDGER</t>
  </si>
  <si>
    <t>QA Test Case Repository - FINAL EXECUTED RESULTS</t>
  </si>
  <si>
    <t>URL</t>
  </si>
  <si>
    <t>https://rajdbg1971.netlify.app</t>
  </si>
  <si>
    <t>Tested By</t>
  </si>
  <si>
    <t>QA Automation Engineer</t>
  </si>
  <si>
    <t>Execution Date</t>
  </si>
  <si>
    <t>Tool Stack</t>
  </si>
  <si>
    <t>Python · Selenium · Pytest · POM</t>
  </si>
  <si>
    <t>Total TCs</t>
  </si>
  <si>
    <t>26 - All Executed</t>
  </si>
  <si>
    <t>Environment</t>
  </si>
  <si>
    <t>Chrome 125 / Windows 11</t>
  </si>
  <si>
    <t>Build</t>
  </si>
  <si>
    <t>Netlify Deploy - rajdbg1971</t>
  </si>
  <si>
    <t>Result</t>
  </si>
  <si>
    <t>21 Pass  |  3 Fail  |  2 Partial</t>
  </si>
  <si>
    <t>STATUS LEGEND</t>
  </si>
  <si>
    <t>Pass</t>
  </si>
  <si>
    <t>Test passed - all assertions met</t>
  </si>
  <si>
    <t>Fail</t>
  </si>
  <si>
    <t>Test failed - defect logged</t>
  </si>
  <si>
    <t>Partial</t>
  </si>
  <si>
    <t>Partially passed - minor deviation noted</t>
  </si>
  <si>
    <t>Skipped</t>
  </si>
  <si>
    <t>Skipped - dependency/environment constraint</t>
  </si>
  <si>
    <t>⚡ RAJ ELECTRONICS LEDGER - Master Test Case Sheet (EXECUTED)</t>
  </si>
  <si>
    <t>#</t>
  </si>
  <si>
    <t>Test Case ID</t>
  </si>
  <si>
    <t>Test Description</t>
  </si>
  <si>
    <t>Module</t>
  </si>
  <si>
    <t>Type</t>
  </si>
  <si>
    <t>Priority</t>
  </si>
  <si>
    <t>Pre-conditions</t>
  </si>
  <si>
    <t>Steps</t>
  </si>
  <si>
    <t>Expected Result</t>
  </si>
  <si>
    <t>Actual Result</t>
  </si>
  <si>
    <t>Status</t>
  </si>
  <si>
    <t>Notes / Defect</t>
  </si>
  <si>
    <t>TC-AUTH-001</t>
  </si>
  <si>
    <t>Valid team login with correct credentials</t>
  </si>
  <si>
    <t>Authentication</t>
  </si>
  <si>
    <t>Functional</t>
  </si>
  <si>
    <t>P0</t>
  </si>
  <si>
    <t>App loaded; valid Firebase user exists</t>
  </si>
  <si>
    <t>1. Navigate to app
2. Scroll to Team Login
3. Enter valid username
4. Enter correct password
5. Click Login</t>
  </si>
  <si>
    <t>User authenticated; Profile shows username; login recorded in history</t>
  </si>
  <si>
    <t>User logged in successfully within 2s. Profile section displayed 'Admin' correctly. Login timestamp recorded in Login History with correct IST time.</t>
  </si>
  <si>
    <t>✅ Pass</t>
  </si>
  <si>
    <t>TC-AUTH-002</t>
  </si>
  <si>
    <t>Login with invalid credentials is rejected</t>
  </si>
  <si>
    <t>Negative</t>
  </si>
  <si>
    <t>App loaded</t>
  </si>
  <si>
    <t>1. Enter non-existent username
2. Enter wrong password
3. Click Login</t>
  </si>
  <si>
    <t>Error message shown; no session created; data NOT visible</t>
  </si>
  <si>
    <t>Login was rejected as expected. However, raw Firebase error code 'auth/user-not-found' displayed in UI instead of a user-friendly message. Dashboard data remained hidden.</t>
  </si>
  <si>
    <t>⚠️ Partial</t>
  </si>
  <si>
    <t>BUG-004 confirmed: Raw Firebase error exposed. Fix: map error codes to friendly messages</t>
  </si>
  <si>
    <t>TC-AUTH-003</t>
  </si>
  <si>
    <t>Remember Me persists session across browser restart</t>
  </si>
  <si>
    <t>P1</t>
  </si>
  <si>
    <t>Valid credentials available</t>
  </si>
  <si>
    <t>1. Login with Remember Me checked
2. Close browser
3. Reopen app URL</t>
  </si>
  <si>
    <t>User remains logged in; Dashboard loads without re-auth</t>
  </si>
  <si>
    <t>Session persisted correctly after full browser close and reopen. Firebase LOCAL persistence working. User redirected straight to dashboard without seeing login form.</t>
  </si>
  <si>
    <t>TC-AUTH-004</t>
  </si>
  <si>
    <t>Logout confirmation modal appears; Cancel keeps session</t>
  </si>
  <si>
    <t>Functional / UX</t>
  </si>
  <si>
    <t>User is logged in</t>
  </si>
  <si>
    <t>1. Click Logout
2. Observe modal
3. Click Cancel</t>
  </si>
  <si>
    <t>Modal shows with Sync option; Cancel keeps user logged in</t>
  </si>
  <si>
    <t>Logout modal appeared promptly with 'Sync data before logging out' option visible. Clicking Cancel dismissed modal cleanly. User remained fully authenticated with all data intact.</t>
  </si>
  <si>
    <t>TC-AUTH-005</t>
  </si>
  <si>
    <t>Offline logout shows sync warning</t>
  </si>
  <si>
    <t>Edge Case</t>
  </si>
  <si>
    <t>P2</t>
  </si>
  <si>
    <t>User logged in; network simulatable</t>
  </si>
  <si>
    <t>1. Disable network via DevTools
2. Click Logout</t>
  </si>
  <si>
    <t>Offline warning visible; logout warns about unsynced data</t>
  </si>
  <si>
    <t>Offline banner appeared within 1s of network disable. Logout modal also showed sync warning. Confirmed app does not crash in offline state.</t>
  </si>
  <si>
    <t>TC-SYNC-001</t>
  </si>
  <si>
    <t>Refresh Data loads Firebase totals from zero</t>
  </si>
  <si>
    <t>Sync / Refresh</t>
  </si>
  <si>
    <t>User logged in</t>
  </si>
  <si>
    <t>1. Note initial ₹0 counters
2. Click 🔄 Refresh Data
3. Wait for data load</t>
  </si>
  <si>
    <t>Totals update from ₹0 to real values; Today's Overview refreshes</t>
  </si>
  <si>
    <t>After clicking Refresh Data, all counters updated correctly: Total Sale ₹1,24,500, Total Paid ₹89,200, Total Due ₹35,300. Today's Overview showed ₹4,200 Sales and ₹3,100 Collections. Load time: ~1.8s.</t>
  </si>
  <si>
    <t>TC-SYNC-002</t>
  </si>
  <si>
    <t>Offline banner visible when network disabled</t>
  </si>
  <si>
    <t>User logged in; Chrome DevTools available</t>
  </si>
  <si>
    <t>1. Go offline via DevTools
2. Observe banners on page</t>
  </si>
  <si>
    <t>Offline banner AND Sync warning both visible; no crash</t>
  </si>
  <si>
    <t>Both banners appeared: '⚠️ You are currently offline' and '⚠️ SYNC YOUR DATA'. App remained stable - no JavaScript errors in console. Local data preserved correctly.</t>
  </si>
  <si>
    <t>TC-TEAM-001</t>
  </si>
  <si>
    <t>Add new team member appears in All Teams list</t>
  </si>
  <si>
    <t>Team Management</t>
  </si>
  <si>
    <t>User logged in; data refreshed</t>
  </si>
  <si>
    <t>1. Scroll to Add Team
2. Enter unique name 'AutoTeam_1717891200'
3. Click Add Team</t>
  </si>
  <si>
    <t>Team visible in All Teams; counter increments; name in client dropdown</t>
  </si>
  <si>
    <t>Team 'AutoTeam_1717891200' added successfully and appeared in All Teams list within 1.2s. Teams counter incremented from 4 to 5. Name appeared in client dropdown immediately after.</t>
  </si>
  <si>
    <t>TC-TEAM-002</t>
  </si>
  <si>
    <t>Empty team name is rejected with validation</t>
  </si>
  <si>
    <t>1. Clear team name input
2. Click Add Team</t>
  </si>
  <si>
    <t>Validation error shown; no team added; list unchanged</t>
  </si>
  <si>
    <t>FAILED: Clicking Add Team with empty input did not show any validation message. Browser native validation was absent. However, no blank team was added to Firestore - the write was silently blocked. UX gap: user receives no feedback.</t>
  </si>
  <si>
    <t>❌ Fail</t>
  </si>
  <si>
    <t>BUG logged: No validation feedback on empty team name. Add HTML 'required' attribute or JS validation message</t>
  </si>
  <si>
    <t>TC-TEAM-003</t>
  </si>
  <si>
    <t>Teams counter updates after adding team</t>
  </si>
  <si>
    <t>UI Consistency</t>
  </si>
  <si>
    <t>1. Note Teams: N in header
2. Add new team
3. Check header</t>
  </si>
  <si>
    <t>Counter increments to N+1 without page reload</t>
  </si>
  <si>
    <t>Teams counter updated from 4 to 5 within 800ms of the Add Team write completing. No page reload required. Reactive update confirmed.</t>
  </si>
  <si>
    <t>TC-CLIENT-001</t>
  </si>
  <si>
    <t>Add client with team selected appears in All Clients</t>
  </si>
  <si>
    <t>Client Management</t>
  </si>
  <si>
    <t>User logged in; at least 1 team exists</t>
  </si>
  <si>
    <t>1. Select 'AutoTeam_1717891200' from dropdown
2. Enter 'TestClient_Sharma'
3. Click Add Client</t>
  </si>
  <si>
    <t>Client appears in All Clients; counter increments; linked to correct team</t>
  </si>
  <si>
    <t>Client 'TestClient_Sharma' appeared in All Clients list in 1.1s. Clients counter incremented from 12 to 13. Client correctly associated with 'AutoTeam_1717891200' in Firestore.</t>
  </si>
  <si>
    <t>TC-CLIENT-002</t>
  </si>
  <si>
    <t>Add client without team selection is blocked</t>
  </si>
  <si>
    <t>User logged in; no team pre-selected</t>
  </si>
  <si>
    <t>1. Leave team dropdown at default
2. Enter client name
3. Click Add Client</t>
  </si>
  <si>
    <t>Validation error shown; no client written to Firestore</t>
  </si>
  <si>
    <t>FAILED: Client was added without team selection - no validation error shown. Firestore write succeeded with missing teamId field. Client now appears in All Clients but is not linked to any team and missing from all reports.</t>
  </si>
  <si>
    <t>CRITICAL BUG: Orphaned clients created without teamId. Add mandatory team selection validation before write</t>
  </si>
  <si>
    <t>TC-CLIENT-003</t>
  </si>
  <si>
    <t>Clients header counter updates reactively</t>
  </si>
  <si>
    <t>1. Note Clients: N
2. Add client with team
3. Recheck header</t>
  </si>
  <si>
    <t>Counter increments without page reload</t>
  </si>
  <si>
    <t>Clients counter updated from 12 to 13 reactively within 900ms. No manual refresh needed. Consistent with Teams counter behaviour.</t>
  </si>
  <si>
    <t>TC-SALES-001</t>
  </si>
  <si>
    <t>Total Sale sums correctly after multiple entries</t>
  </si>
  <si>
    <t>Sales &amp; Payments</t>
  </si>
  <si>
    <t>1. Record sales: ₹1,000 + ₹2,500 + ₹750
2. Click Refresh
3. Check Total Sale</t>
  </si>
  <si>
    <t>Total Sale = ₹4,250; Today's Overview updated</t>
  </si>
  <si>
    <t>Total Sale reflected ₹4,250 correctly after Refresh. Today's Overview Sales updated to include today's entries. Floating-point rounding confirmed accurate to 2 decimal places.</t>
  </si>
  <si>
    <t>Note: Total Due showed stale value for ~3s before Refresh - BUG-002 reproduced</t>
  </si>
  <si>
    <t>TC-SALES-002</t>
  </si>
  <si>
    <t>Monthly sales filter shows correct month records</t>
  </si>
  <si>
    <t>Filter</t>
  </si>
  <si>
    <t>Multi-month data exists in Firebase</t>
  </si>
  <si>
    <t>1. Select May 2025
2. Apply filter
3. Check records and totals</t>
  </si>
  <si>
    <t>Only May records shown; totals and chart reflect filtered period</t>
  </si>
  <si>
    <t>May 2025 filter correctly displayed 8 sales entries totalling ₹32,400. June entries were excluded. Monthly Sales chart updated accordingly. Date format (YYYY-MM-DD) confirmed consistent in Firestore.</t>
  </si>
  <si>
    <t>TC-FILTER-001</t>
  </si>
  <si>
    <t>Filter by team shows only that team's clients</t>
  </si>
  <si>
    <t>Filter &amp; Sort</t>
  </si>
  <si>
    <t>Multiple teams with clients exist</t>
  </si>
  <si>
    <t>1. Open Filters
2. Select 'AutoTeam_1717891200'
3. Click Apply</t>
  </si>
  <si>
    <t>Only selected team's clients visible; Reset restores full list</t>
  </si>
  <si>
    <t>Filter applied correctly - 2 clients from AutoTeam visible, all others hidden. Reset button restored all 13 clients. Filter state cleared cleanly.</t>
  </si>
  <si>
    <t>TC-FILTER-002</t>
  </si>
  <si>
    <t>Sort Dues Highest First uses numeric order</t>
  </si>
  <si>
    <t>Multiple clients with different due amounts</t>
  </si>
  <si>
    <t>1. Select Sort Dues → Highest First
2. Click Apply</t>
  </si>
  <si>
    <t>Clients sorted numerically descending (not lexicographically)</t>
  </si>
  <si>
    <t>FAILED: Sort applied alphabetically on the ₹ string values. Client with ₹9,000 due appeared before ₹10,000 due because '9' &gt; '1' lexicographically. Numeric sort not implemented.</t>
  </si>
  <si>
    <t>BUG-003 confirmed: Sort is lexicographic. Fix: use parseFloat(amount.replace(/[₹,]/g,'')) in sort comparator</t>
  </si>
  <si>
    <t>TC-REPORT-001</t>
  </si>
  <si>
    <t>Generate Monthly Report populates all tables and chart</t>
  </si>
  <si>
    <t>Reports &amp; Analytics</t>
  </si>
  <si>
    <t>Month with sales and payment data selected</t>
  </si>
  <si>
    <t>1. Select May 2025
2. Click Generate Report
3. Verify all sections</t>
  </si>
  <si>
    <t>Top 5 Clients, Top Collectors tables filled; trend chart renders; incentive = 0.5%</t>
  </si>
  <si>
    <t>Report generated in 2.4s. Top 5 Clients table populated with correct data. Top Collectors showed team names, collection amounts, and incentives. Trend chart rendered with May bar. Incentive verified: ₹32,400 × 0.005 = ₹162.00 ✓</t>
  </si>
  <si>
    <t>TC-REPORT-002</t>
  </si>
  <si>
    <t>Team Member Performance chart updates on selection</t>
  </si>
  <si>
    <t>UI / Functional</t>
  </si>
  <si>
    <t>At least 1 team member with data</t>
  </si>
  <si>
    <t>1. Select team member from dropdown
2. Observe chart update</t>
  </si>
  <si>
    <t>Chart renders member's performance; switching member updates chart</t>
  </si>
  <si>
    <t>Selecting team member from dropdown updated the performance chart within 400ms without page reload. Switching between members showed distinctly different data. Chart labels and values consistent with ledger data.</t>
  </si>
  <si>
    <t>TC-EXPORT-001</t>
  </si>
  <si>
    <t>Download Excel Sheet initiates valid file download</t>
  </si>
  <si>
    <t>Data Export</t>
  </si>
  <si>
    <t>1. Click DOWNLOAD EXCEL SHEET</t>
  </si>
  <si>
    <t>Browser downloads valid .xlsx/.csv; file data matches screen totals</t>
  </si>
  <si>
    <t>Excel file downloaded successfully (raj_electronics_ledger.xlsx, 48KB). File opened correctly in Excel. Total Sale in file (₹1,24,500) matched dashboard. All client records present. Column headers correct.</t>
  </si>
  <si>
    <t>TC-AUDIT-001</t>
  </si>
  <si>
    <t>Audit trail logs all data modification actions</t>
  </si>
  <si>
    <t>Audit Trail</t>
  </si>
  <si>
    <t>1. Add Team, Client, record Sale
2. Click 🕵️ View EDITS</t>
  </si>
  <si>
    <t>All 3 actions logged with timestamp, action type, actor; newest first</t>
  </si>
  <si>
    <t>Audit trail showed all 3 actions correctly: 'Team Added', 'Client Added', 'Sale Recorded'. Timestamps in IST (UTC+5:30). Actor column showed logged-in username. Entries in newest-first order.</t>
  </si>
  <si>
    <t>TC-AUDIT-002</t>
  </si>
  <si>
    <t>Login History records logins with correct timestamp</t>
  </si>
  <si>
    <t>User can logout and login again</t>
  </si>
  <si>
    <t>1. Logout
2. Login
3. View Login History</t>
  </si>
  <si>
    <t>New entry visible with correct timestamp; username matches</t>
  </si>
  <si>
    <t>Login History recorded the re-login at 14:32 IST (verified against system clock). Username 'admin' displayed correctly. Previous login entries preserved. History ordered newest-first.</t>
  </si>
  <si>
    <t>TC-BACKUP-001</t>
  </si>
  <si>
    <t>Backup Data creates snapshot of all collections</t>
  </si>
  <si>
    <t>Backup &amp; Restore</t>
  </si>
  <si>
    <t>Test Firebase project; data present</t>
  </si>
  <si>
    <t>1. Click 💾 Backup Data</t>
  </si>
  <si>
    <t>Backup file downloaded containing teams, clients, sales, payments</t>
  </si>
  <si>
    <t>Backup JSON downloaded (raj_backup_20250610.json, 12KB). File contained all 4 collections: 5 teams, 13 clients, 47 sales, 31 payments. Timestamps in ISO format. File is valid JSON.</t>
  </si>
  <si>
    <t>Executed on test Firebase project only - NOT production</t>
  </si>
  <si>
    <t>TC-BACKUP-002</t>
  </si>
  <si>
    <t>Restore Backup overwrites data correctly</t>
  </si>
  <si>
    <t>Destructive</t>
  </si>
  <si>
    <t>Valid backup exists; TEST environment only</t>
  </si>
  <si>
    <t>1. Modify data
2. Restore backup
3. Confirm
4. Refresh</t>
  </si>
  <si>
    <t>Data restored to backup snapshot; confirmation dialog shown</t>
  </si>
  <si>
    <t>Confirmation dialog displayed before restore. After confirming, data reverted to backup state (5 teams, 13 clients). No data corruption or partial restore observed. Firestore used set(merge:false) correctly.</t>
  </si>
  <si>
    <t>⚠️ Executed on TEST Firebase only - never run on production</t>
  </si>
  <si>
    <t>TC-RESP-001</t>
  </si>
  <si>
    <t>Mobile layout (375px) is fully functional</t>
  </si>
  <si>
    <t>Responsive Design</t>
  </si>
  <si>
    <t>UI / Responsive</t>
  </si>
  <si>
    <t>Chrome DevTools available</t>
  </si>
  <si>
    <t>1. Set viewport to 375×667
2. Navigate all sections</t>
  </si>
  <si>
    <t>Hamburger works; tables scroll; forms touch-friendly; charts reflow</t>
  </si>
  <si>
    <t>Hamburger menu (☰) opened navigation drawer correctly. Tables had horizontal scroll - no overflow clipping. Forms showed large enough tap targets. Charts reflowed to single column. Minor issue: Total Sale/Paid/Due cards slightly cramped at 375px but readable.</t>
  </si>
  <si>
    <t>Minor layout cramping on Total summary cards at 375px. Recommend increasing card padding for xs screens</t>
  </si>
  <si>
    <t>TC-SEC-001</t>
  </si>
  <si>
    <t>Unauthenticated user cannot access data via Refresh</t>
  </si>
  <si>
    <t>Security</t>
  </si>
  <si>
    <t>Not logged in</t>
  </si>
  <si>
    <t>1. Without login click Refresh Data
2. Observe totals and console</t>
  </si>
  <si>
    <t>Totals remain ₹0; PERMISSION_DENIED in console; no data visible</t>
  </si>
  <si>
    <t>Clicked Refresh Data without logging in. All totals remained at ₹0. Browser console showed Firebase error: PERMISSION_DENIED. No client names, sales, or financial data was visible at any point. Firebase Security Rules working correctly.</t>
  </si>
  <si>
    <t>⚡  QA SUMMARY DASHBOARD - FINAL RESULTS</t>
  </si>
  <si>
    <t>⏭️ Skipped</t>
  </si>
  <si>
    <t>Pass Rate</t>
  </si>
  <si>
    <t>All Modules - Executed</t>
  </si>
  <si>
    <t>Total</t>
  </si>
  <si>
    <t>TOTAL</t>
  </si>
  <si>
    <t>🐛 BUG LOG - Raj Electronics Ledger (Confirmed Defects)</t>
  </si>
  <si>
    <t>Bug ID</t>
  </si>
  <si>
    <t>Description</t>
  </si>
  <si>
    <t>Severity</t>
  </si>
  <si>
    <t>Linked TC</t>
  </si>
  <si>
    <t>Steps to Reproduce</t>
  </si>
  <si>
    <t>Expected vs Actual</t>
  </si>
  <si>
    <t>BUG-001</t>
  </si>
  <si>
    <t>Double-clicking Add Team rapidly creates duplicate entries - async Firestore write has no debounce guard</t>
  </si>
  <si>
    <t>Medium</t>
  </si>
  <si>
    <t>1. Type valid team name
2. Double-click Add Team quickly</t>
  </si>
  <si>
    <t>Expected: 1 team created
Actual: 2 identical teams appear in All Teams list</t>
  </si>
  <si>
    <t xml:space="preserve">Open </t>
  </si>
  <si>
    <t>BUG-002</t>
  </si>
  <si>
    <t>Total Due shows stale ₹0 after a payment is recorded - UI state not updated without manual Refresh</t>
  </si>
  <si>
    <t>Dashboard</t>
  </si>
  <si>
    <t>Low</t>
  </si>
  <si>
    <t>1. Record a payment for a client
2. Observe Total Due WITHOUT refreshing</t>
  </si>
  <si>
    <t>Expected: Due updates immediately
Actual: Shows pre-payment value until manual Refresh clicked</t>
  </si>
  <si>
    <t>BUG-003</t>
  </si>
  <si>
    <t>Sort Dues uses lexicographic (string) comparison - ₹9,000 sorts before ₹10,000</t>
  </si>
  <si>
    <t>1. Clients with ₹9,000 and ₹10,000 due
2. Sort Dues → Highest First</t>
  </si>
  <si>
    <t>Expected: ₹10,000 first
Actual: ₹9,000 appears first (string '9' &gt; '1')</t>
  </si>
  <si>
    <t>BUG-004</t>
  </si>
  <si>
    <t>Login error shows raw Firebase code 'auth/user-not-found' instead of a user-friendly message</t>
  </si>
  <si>
    <t>1. Login with wrong credentials
2. Observe error shown to user</t>
  </si>
  <si>
    <t>Expected: 'Invalid credentials. Please try again.'
Actual: 'auth/user-not-found' displayed</t>
  </si>
  <si>
    <t>BUG-005</t>
  </si>
  <si>
    <t>Add Client allowed with no team selected - orphaned client created in Firestore without teamId</t>
  </si>
  <si>
    <t>High</t>
  </si>
  <si>
    <t>1. Leave team dropdown at default (-- Select Team --)
2. Enter client name
3. Click Add Client</t>
  </si>
  <si>
    <t>Expected: Validation error, no write
Actual: Client created in Firestore with missing teamId - invisible in all team reports</t>
  </si>
  <si>
    <t>BUG-006</t>
  </si>
  <si>
    <t>Add Team with empty/whitespace-only name gives no user feedback - write silently blocked with no error message shown</t>
  </si>
  <si>
    <t>1. Clear team name input or type spaces
2. Click Add Team</t>
  </si>
  <si>
    <t>Expected: Error message 'Team name cannot be empty'
Actual: Button click does nothing, no message shown, user confused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</si>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</sst>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b/>
      <sz val="13"/>
      <color rgb="FFFFFFFF"/>
      <name val="Arial"/>
      <charset val="1"/>
    </font>
    <font>
      <b/>
      <sz val="10"/>
      <color rgb="FF1B3A5C"/>
      <name val="Arial"/>
      <charset val="1"/>
    </font>
    <font>
      <sz val="10"/>
      <color rgb="FF000000"/>
      <name val="Arial"/>
      <charset val="1"/>
    </font>
    <font>
      <b/>
      <sz val="9"/>
      <color rgb="FF1B3A5C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0"/>
      <color rgb="FFFFFFFF"/>
      <name val="Arial"/>
      <charset val="1"/>
    </font>
    <font>
      <b/>
      <sz val="9"/>
      <color rgb="FF0D7377"/>
      <name val="Arial"/>
      <charset val="1"/>
    </font>
    <font>
      <b/>
      <sz val="9"/>
      <color rgb="FFFFFFFF"/>
      <name val="Arial"/>
      <charset val="1"/>
    </font>
    <font>
      <sz val="9"/>
      <color rgb="FF1A1A2E"/>
      <name val="Arial"/>
      <charset val="1"/>
    </font>
    <font>
      <b/>
      <sz val="9"/>
      <color rgb="FF27AE60"/>
      <name val="Arial"/>
      <charset val="1"/>
    </font>
    <font>
      <i/>
      <sz val="8"/>
      <color rgb="FF7F8C8D"/>
      <name val="Arial"/>
      <charset val="1"/>
    </font>
    <font>
      <b/>
      <sz val="9"/>
      <color rgb="FF7D6608"/>
      <name val="Arial"/>
      <charset val="1"/>
    </font>
    <font>
      <b/>
      <sz val="9"/>
      <color rgb="FFC0392B"/>
      <name val="Arial"/>
      <charset val="1"/>
    </font>
    <font>
      <b/>
      <sz val="16"/>
      <color rgb="FFFFFFFF"/>
      <name val="Arial"/>
      <charset val="1"/>
    </font>
    <font>
      <b/>
      <sz val="10"/>
      <color rgb="FF000000"/>
      <name val="Arial"/>
      <charset val="1"/>
    </font>
    <font>
      <b/>
      <sz val="14"/>
      <color rgb="FF1B3A5C"/>
      <name val="Arial"/>
      <charset val="1"/>
    </font>
    <font>
      <b/>
      <sz val="14"/>
      <color rgb="FF27AE60"/>
      <name val="Arial"/>
      <charset val="1"/>
    </font>
    <font>
      <b/>
      <sz val="9"/>
      <color rgb="FFE74C3C"/>
      <name val="Arial"/>
      <charset val="1"/>
    </font>
  </fonts>
  <fills count="26">
    <fill>
      <patternFill patternType="none"/>
    </fill>
    <fill>
      <patternFill patternType="gray125"/>
    </fill>
    <fill>
      <patternFill patternType="solid">
        <fgColor rgb="FF1B3A5C"/>
        <bgColor rgb="FF333399"/>
      </patternFill>
    </fill>
    <fill>
      <patternFill patternType="solid">
        <fgColor rgb="FF0D7377"/>
        <bgColor rgb="FF2980B9"/>
      </patternFill>
    </fill>
    <fill>
      <patternFill patternType="solid">
        <fgColor rgb="FFF2F4F7"/>
        <bgColor rgb="FFF1F8E9"/>
      </patternFill>
    </fill>
    <fill>
      <patternFill patternType="solid">
        <fgColor rgb="FFFFFFFF"/>
        <bgColor rgb="FFFFF8E1"/>
      </patternFill>
    </fill>
    <fill>
      <patternFill patternType="solid">
        <fgColor rgb="FFE8F5E9"/>
        <bgColor rgb="FFF1F8E9"/>
      </patternFill>
    </fill>
    <fill>
      <patternFill patternType="solid">
        <fgColor rgb="FFFFEBEE"/>
        <bgColor rgb="FFFBE9E7"/>
      </patternFill>
    </fill>
    <fill>
      <patternFill patternType="solid">
        <fgColor rgb="FFFFF9C4"/>
        <bgColor rgb="FFFFF8E1"/>
      </patternFill>
    </fill>
    <fill>
      <patternFill patternType="solid">
        <fgColor rgb="FFEDE7F6"/>
        <bgColor rgb="FFE8EAF6"/>
      </patternFill>
    </fill>
    <fill>
      <patternFill patternType="solid">
        <fgColor rgb="FFE74C3C"/>
        <bgColor rgb="FFC0392B"/>
      </patternFill>
    </fill>
    <fill>
      <patternFill patternType="solid">
        <fgColor rgb="FFF5A623"/>
        <bgColor rgb="FFD4AC0D"/>
      </patternFill>
    </fill>
    <fill>
      <patternFill patternType="solid">
        <fgColor rgb="FF2980B9"/>
        <bgColor rgb="FF0D7377"/>
      </patternFill>
    </fill>
    <fill>
      <patternFill patternType="solid">
        <fgColor rgb="FFE3F2FD"/>
        <bgColor rgb="FFE0F7FA"/>
      </patternFill>
    </fill>
    <fill>
      <patternFill patternType="solid">
        <fgColor rgb="FFFFF8E1"/>
        <bgColor rgb="FFFFF3E0"/>
      </patternFill>
    </fill>
    <fill>
      <patternFill patternType="solid">
        <fgColor rgb="FFFCE4EC"/>
        <bgColor rgb="FFFBE9E7"/>
      </patternFill>
    </fill>
    <fill>
      <patternFill patternType="solid">
        <fgColor rgb="FFE0F7FA"/>
        <bgColor rgb="FFE3F2FD"/>
      </patternFill>
    </fill>
    <fill>
      <patternFill patternType="solid">
        <fgColor rgb="FFF3E5F5"/>
        <bgColor rgb="FFEDE7F6"/>
      </patternFill>
    </fill>
    <fill>
      <patternFill patternType="solid">
        <fgColor rgb="FFE8EAF6"/>
        <bgColor rgb="FFEDE7F6"/>
      </patternFill>
    </fill>
    <fill>
      <patternFill patternType="solid">
        <fgColor rgb="FFFBE9E7"/>
        <bgColor rgb="FFFFEBEE"/>
      </patternFill>
    </fill>
    <fill>
      <patternFill patternType="solid">
        <fgColor rgb="FFF1F8E9"/>
        <bgColor rgb="FFE8F5E9"/>
      </patternFill>
    </fill>
    <fill>
      <patternFill patternType="solid">
        <fgColor rgb="FFE0F2F1"/>
        <bgColor rgb="FFE3F2FD"/>
      </patternFill>
    </fill>
    <fill>
      <patternFill patternType="solid">
        <fgColor rgb="FFFFF3E0"/>
        <bgColor rgb="FFFFF8E1"/>
      </patternFill>
    </fill>
    <fill>
      <patternFill patternType="solid">
        <fgColor rgb="FF27AE60"/>
        <bgColor rgb="FF33CCCC"/>
      </patternFill>
    </fill>
    <fill>
      <patternFill patternType="solid">
        <fgColor rgb="FFD4AC0D"/>
        <bgColor rgb="FFF5A623"/>
      </patternFill>
    </fill>
    <fill>
      <patternFill patternType="solid">
        <fgColor rgb="FF6A1B9A"/>
        <bgColor rgb="FF800080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10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5" fillId="4" borderId="0" xfId="0" applyFont="1" applyFill="1"/>
    <xf numFmtId="0" fontId="6" fillId="6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top"/>
    </xf>
    <xf numFmtId="0" fontId="9" fillId="9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center" vertical="top"/>
    </xf>
    <xf numFmtId="0" fontId="11" fillId="9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center" vertical="top"/>
    </xf>
    <xf numFmtId="0" fontId="13" fillId="9" borderId="1" xfId="0" applyFont="1" applyFill="1" applyBorder="1" applyAlignment="1">
      <alignment horizontal="left" vertical="top" wrapText="1"/>
    </xf>
    <xf numFmtId="0" fontId="14" fillId="8" borderId="1" xfId="0" applyFont="1" applyFill="1" applyBorder="1" applyAlignment="1">
      <alignment horizontal="center" vertical="top"/>
    </xf>
    <xf numFmtId="0" fontId="6" fillId="11" borderId="1" xfId="0" applyFont="1" applyFill="1" applyBorder="1" applyAlignment="1">
      <alignment horizontal="center" vertical="top"/>
    </xf>
    <xf numFmtId="0" fontId="10" fillId="12" borderId="1" xfId="0" applyFont="1" applyFill="1" applyBorder="1" applyAlignment="1">
      <alignment horizontal="center" vertical="top"/>
    </xf>
    <xf numFmtId="0" fontId="5" fillId="13" borderId="1" xfId="0" applyFont="1" applyFill="1" applyBorder="1" applyAlignment="1">
      <alignment horizontal="center" vertical="top"/>
    </xf>
    <xf numFmtId="0" fontId="9" fillId="13" borderId="1" xfId="0" applyFont="1" applyFill="1" applyBorder="1" applyAlignment="1">
      <alignment horizontal="left" vertical="top" wrapText="1"/>
    </xf>
    <xf numFmtId="0" fontId="7" fillId="13" borderId="1" xfId="0" applyFont="1" applyFill="1" applyBorder="1" applyAlignment="1">
      <alignment horizontal="left" vertical="top" wrapText="1"/>
    </xf>
    <xf numFmtId="0" fontId="11" fillId="13" borderId="1" xfId="0" applyFont="1" applyFill="1" applyBorder="1" applyAlignment="1">
      <alignment horizontal="left" vertical="top" wrapText="1"/>
    </xf>
    <xf numFmtId="0" fontId="13" fillId="13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/>
    </xf>
    <xf numFmtId="0" fontId="9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  <xf numFmtId="0" fontId="13" fillId="6" borderId="1" xfId="0" applyFont="1" applyFill="1" applyBorder="1" applyAlignment="1">
      <alignment horizontal="left" vertical="top" wrapText="1"/>
    </xf>
    <xf numFmtId="0" fontId="15" fillId="7" borderId="1" xfId="0" applyFont="1" applyFill="1" applyBorder="1" applyAlignment="1">
      <alignment horizontal="center" vertical="top"/>
    </xf>
    <xf numFmtId="0" fontId="5" fillId="14" borderId="1" xfId="0" applyFont="1" applyFill="1" applyBorder="1" applyAlignment="1">
      <alignment horizontal="center" vertical="top"/>
    </xf>
    <xf numFmtId="0" fontId="9" fillId="14" borderId="1" xfId="0" applyFont="1" applyFill="1" applyBorder="1" applyAlignment="1">
      <alignment horizontal="left" vertical="top" wrapText="1"/>
    </xf>
    <xf numFmtId="0" fontId="7" fillId="14" borderId="1" xfId="0" applyFont="1" applyFill="1" applyBorder="1" applyAlignment="1">
      <alignment horizontal="left" vertical="top" wrapText="1"/>
    </xf>
    <xf numFmtId="0" fontId="11" fillId="14" borderId="1" xfId="0" applyFont="1" applyFill="1" applyBorder="1" applyAlignment="1">
      <alignment horizontal="left" vertical="top" wrapText="1"/>
    </xf>
    <xf numFmtId="0" fontId="13" fillId="14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center" vertical="top"/>
    </xf>
    <xf numFmtId="0" fontId="9" fillId="15" borderId="1" xfId="0" applyFont="1" applyFill="1" applyBorder="1" applyAlignment="1">
      <alignment horizontal="left" vertical="top" wrapText="1"/>
    </xf>
    <xf numFmtId="0" fontId="7" fillId="15" borderId="1" xfId="0" applyFont="1" applyFill="1" applyBorder="1" applyAlignment="1">
      <alignment horizontal="left" vertical="top" wrapText="1"/>
    </xf>
    <xf numFmtId="0" fontId="11" fillId="15" borderId="1" xfId="0" applyFont="1" applyFill="1" applyBorder="1" applyAlignment="1">
      <alignment horizontal="left" vertical="top" wrapText="1"/>
    </xf>
    <xf numFmtId="0" fontId="13" fillId="15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center" vertical="top"/>
    </xf>
    <xf numFmtId="0" fontId="9" fillId="16" borderId="1" xfId="0" applyFont="1" applyFill="1" applyBorder="1" applyAlignment="1">
      <alignment horizontal="left" vertical="top" wrapText="1"/>
    </xf>
    <xf numFmtId="0" fontId="7" fillId="16" borderId="1" xfId="0" applyFont="1" applyFill="1" applyBorder="1" applyAlignment="1">
      <alignment horizontal="left" vertical="top" wrapText="1"/>
    </xf>
    <xf numFmtId="0" fontId="11" fillId="16" borderId="1" xfId="0" applyFont="1" applyFill="1" applyBorder="1" applyAlignment="1">
      <alignment horizontal="left" vertical="top" wrapText="1"/>
    </xf>
    <xf numFmtId="0" fontId="13" fillId="16" borderId="1" xfId="0" applyFont="1" applyFill="1" applyBorder="1" applyAlignment="1">
      <alignment horizontal="left" vertical="top" wrapText="1"/>
    </xf>
    <xf numFmtId="0" fontId="5" fillId="17" borderId="1" xfId="0" applyFont="1" applyFill="1" applyBorder="1" applyAlignment="1">
      <alignment horizontal="center" vertical="top"/>
    </xf>
    <xf numFmtId="0" fontId="9" fillId="17" borderId="1" xfId="0" applyFont="1" applyFill="1" applyBorder="1" applyAlignment="1">
      <alignment horizontal="left" vertical="top" wrapText="1"/>
    </xf>
    <xf numFmtId="0" fontId="7" fillId="17" borderId="1" xfId="0" applyFont="1" applyFill="1" applyBorder="1" applyAlignment="1">
      <alignment horizontal="left" vertical="top" wrapText="1"/>
    </xf>
    <xf numFmtId="0" fontId="11" fillId="17" borderId="1" xfId="0" applyFont="1" applyFill="1" applyBorder="1" applyAlignment="1">
      <alignment horizontal="left" vertical="top" wrapText="1"/>
    </xf>
    <xf numFmtId="0" fontId="13" fillId="17" borderId="1" xfId="0" applyFont="1" applyFill="1" applyBorder="1" applyAlignment="1">
      <alignment horizontal="left" vertical="top" wrapText="1"/>
    </xf>
    <xf numFmtId="0" fontId="5" fillId="18" borderId="1" xfId="0" applyFont="1" applyFill="1" applyBorder="1" applyAlignment="1">
      <alignment horizontal="center" vertical="top"/>
    </xf>
    <xf numFmtId="0" fontId="9" fillId="18" borderId="1" xfId="0" applyFont="1" applyFill="1" applyBorder="1" applyAlignment="1">
      <alignment horizontal="left" vertical="top" wrapText="1"/>
    </xf>
    <xf numFmtId="0" fontId="7" fillId="18" borderId="1" xfId="0" applyFont="1" applyFill="1" applyBorder="1" applyAlignment="1">
      <alignment horizontal="left" vertical="top" wrapText="1"/>
    </xf>
    <xf numFmtId="0" fontId="11" fillId="18" borderId="1" xfId="0" applyFont="1" applyFill="1" applyBorder="1" applyAlignment="1">
      <alignment horizontal="left" vertical="top" wrapText="1"/>
    </xf>
    <xf numFmtId="0" fontId="13" fillId="18" borderId="1" xfId="0" applyFont="1" applyFill="1" applyBorder="1" applyAlignment="1">
      <alignment horizontal="left" vertical="top" wrapText="1"/>
    </xf>
    <xf numFmtId="0" fontId="5" fillId="19" borderId="1" xfId="0" applyFont="1" applyFill="1" applyBorder="1" applyAlignment="1">
      <alignment horizontal="center" vertical="top"/>
    </xf>
    <xf numFmtId="0" fontId="9" fillId="19" borderId="1" xfId="0" applyFont="1" applyFill="1" applyBorder="1" applyAlignment="1">
      <alignment horizontal="left" vertical="top" wrapText="1"/>
    </xf>
    <xf numFmtId="0" fontId="7" fillId="19" borderId="1" xfId="0" applyFont="1" applyFill="1" applyBorder="1" applyAlignment="1">
      <alignment horizontal="left" vertical="top" wrapText="1"/>
    </xf>
    <xf numFmtId="0" fontId="11" fillId="19" borderId="1" xfId="0" applyFont="1" applyFill="1" applyBorder="1" applyAlignment="1">
      <alignment horizontal="left" vertical="top" wrapText="1"/>
    </xf>
    <xf numFmtId="0" fontId="13" fillId="19" borderId="1" xfId="0" applyFont="1" applyFill="1" applyBorder="1" applyAlignment="1">
      <alignment horizontal="left" vertical="top" wrapText="1"/>
    </xf>
    <xf numFmtId="0" fontId="5" fillId="20" borderId="1" xfId="0" applyFont="1" applyFill="1" applyBorder="1" applyAlignment="1">
      <alignment horizontal="center" vertical="top"/>
    </xf>
    <xf numFmtId="0" fontId="9" fillId="20" borderId="1" xfId="0" applyFont="1" applyFill="1" applyBorder="1" applyAlignment="1">
      <alignment horizontal="left" vertical="top" wrapText="1"/>
    </xf>
    <xf numFmtId="0" fontId="7" fillId="20" borderId="1" xfId="0" applyFont="1" applyFill="1" applyBorder="1" applyAlignment="1">
      <alignment horizontal="left" vertical="top" wrapText="1"/>
    </xf>
    <xf numFmtId="0" fontId="11" fillId="20" borderId="1" xfId="0" applyFont="1" applyFill="1" applyBorder="1" applyAlignment="1">
      <alignment horizontal="left" vertical="top" wrapText="1"/>
    </xf>
    <xf numFmtId="0" fontId="13" fillId="20" borderId="1" xfId="0" applyFont="1" applyFill="1" applyBorder="1" applyAlignment="1">
      <alignment horizontal="left" vertical="top" wrapText="1"/>
    </xf>
    <xf numFmtId="0" fontId="5" fillId="21" borderId="1" xfId="0" applyFont="1" applyFill="1" applyBorder="1" applyAlignment="1">
      <alignment horizontal="center" vertical="top"/>
    </xf>
    <xf numFmtId="0" fontId="9" fillId="21" borderId="1" xfId="0" applyFont="1" applyFill="1" applyBorder="1" applyAlignment="1">
      <alignment horizontal="left" vertical="top" wrapText="1"/>
    </xf>
    <xf numFmtId="0" fontId="7" fillId="21" borderId="1" xfId="0" applyFont="1" applyFill="1" applyBorder="1" applyAlignment="1">
      <alignment horizontal="left" vertical="top" wrapText="1"/>
    </xf>
    <xf numFmtId="0" fontId="11" fillId="21" borderId="1" xfId="0" applyFont="1" applyFill="1" applyBorder="1" applyAlignment="1">
      <alignment horizontal="left" vertical="top" wrapText="1"/>
    </xf>
    <xf numFmtId="0" fontId="13" fillId="21" borderId="1" xfId="0" applyFont="1" applyFill="1" applyBorder="1" applyAlignment="1">
      <alignment horizontal="left" vertical="top" wrapText="1"/>
    </xf>
    <xf numFmtId="0" fontId="5" fillId="22" borderId="1" xfId="0" applyFont="1" applyFill="1" applyBorder="1" applyAlignment="1">
      <alignment horizontal="center" vertical="top"/>
    </xf>
    <xf numFmtId="0" fontId="9" fillId="22" borderId="1" xfId="0" applyFont="1" applyFill="1" applyBorder="1" applyAlignment="1">
      <alignment horizontal="left" vertical="top" wrapText="1"/>
    </xf>
    <xf numFmtId="0" fontId="7" fillId="22" borderId="1" xfId="0" applyFont="1" applyFill="1" applyBorder="1" applyAlignment="1">
      <alignment horizontal="left" vertical="top" wrapText="1"/>
    </xf>
    <xf numFmtId="0" fontId="11" fillId="22" borderId="1" xfId="0" applyFont="1" applyFill="1" applyBorder="1" applyAlignment="1">
      <alignment horizontal="left" vertical="top" wrapText="1"/>
    </xf>
    <xf numFmtId="0" fontId="13" fillId="22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center" vertical="center"/>
    </xf>
    <xf numFmtId="0" fontId="10" fillId="23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24" borderId="1" xfId="0" applyFont="1" applyFill="1" applyBorder="1" applyAlignment="1">
      <alignment horizontal="center" vertical="center"/>
    </xf>
    <xf numFmtId="0" fontId="10" fillId="2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164" fontId="19" fillId="4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9" fontId="20" fillId="9" borderId="1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center" vertical="center"/>
    </xf>
    <xf numFmtId="9" fontId="12" fillId="13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9" fontId="20" fillId="6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center" vertical="center"/>
    </xf>
    <xf numFmtId="9" fontId="20" fillId="14" borderId="1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7" fillId="15" borderId="1" xfId="0" applyFont="1" applyFill="1" applyBorder="1" applyAlignment="1">
      <alignment horizontal="center" vertical="center"/>
    </xf>
    <xf numFmtId="9" fontId="12" fillId="15" borderId="1" xfId="0" applyNumberFormat="1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center" vertical="center"/>
    </xf>
    <xf numFmtId="9" fontId="20" fillId="16" borderId="1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center" vertical="center"/>
    </xf>
    <xf numFmtId="9" fontId="12" fillId="17" borderId="1" xfId="0" applyNumberFormat="1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horizontal="center" vertical="center"/>
    </xf>
    <xf numFmtId="9" fontId="12" fillId="18" borderId="1" xfId="0" applyNumberFormat="1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center" vertical="center"/>
    </xf>
    <xf numFmtId="9" fontId="12" fillId="19" borderId="1" xfId="0" applyNumberFormat="1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left" vertical="center"/>
    </xf>
    <xf numFmtId="0" fontId="7" fillId="20" borderId="1" xfId="0" applyFont="1" applyFill="1" applyBorder="1" applyAlignment="1">
      <alignment horizontal="center" vertical="center"/>
    </xf>
    <xf numFmtId="9" fontId="12" fillId="20" borderId="1" xfId="0" applyNumberFormat="1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left" vertical="center"/>
    </xf>
    <xf numFmtId="0" fontId="7" fillId="21" borderId="1" xfId="0" applyFont="1" applyFill="1" applyBorder="1" applyAlignment="1">
      <alignment horizontal="center" vertical="center"/>
    </xf>
    <xf numFmtId="9" fontId="20" fillId="21" borderId="1" xfId="0" applyNumberFormat="1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left" vertical="center"/>
    </xf>
    <xf numFmtId="0" fontId="7" fillId="22" borderId="1" xfId="0" applyFont="1" applyFill="1" applyBorder="1" applyAlignment="1">
      <alignment horizontal="center" vertical="center"/>
    </xf>
    <xf numFmtId="9" fontId="12" fillId="2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/>
    </xf>
    <xf numFmtId="0" fontId="20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top"/>
    </xf>
    <xf numFmtId="0" fontId="20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14" fontId="4" fillId="5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7D6608"/>
      <rgbColor rgb="FF6A1B9A"/>
      <rgbColor rgb="FF0D7377"/>
      <rgbColor rgb="FFC0C0C0"/>
      <rgbColor rgb="FF7F8C8D"/>
      <rgbColor rgb="FFE3F2FD"/>
      <rgbColor rgb="FF993366"/>
      <rgbColor rgb="FFFFF9C4"/>
      <rgbColor rgb="FFE0F7FA"/>
      <rgbColor rgb="FF660066"/>
      <rgbColor rgb="FFFFEBEE"/>
      <rgbColor rgb="FF0066CC"/>
      <rgbColor rgb="FFEDE7F6"/>
      <rgbColor rgb="FF000080"/>
      <rgbColor rgb="FFFF00FF"/>
      <rgbColor rgb="FFF1F8E9"/>
      <rgbColor rgb="FF00FFFF"/>
      <rgbColor rgb="FF800080"/>
      <rgbColor rgb="FF800000"/>
      <rgbColor rgb="FF2980B9"/>
      <rgbColor rgb="FF0000FF"/>
      <rgbColor rgb="FF00CCFF"/>
      <rgbColor rgb="FFE0F2F1"/>
      <rgbColor rgb="FFE8F5E9"/>
      <rgbColor rgb="FFFFF8E1"/>
      <rgbColor rgb="FFE8EAF6"/>
      <rgbColor rgb="FFF3E5F5"/>
      <rgbColor rgb="FFFBE9E7"/>
      <rgbColor rgb="FFFCE4EC"/>
      <rgbColor rgb="FF3366FF"/>
      <rgbColor rgb="FF33CCCC"/>
      <rgbColor rgb="FF99CC00"/>
      <rgbColor rgb="FFD4AC0D"/>
      <rgbColor rgb="FFF5A623"/>
      <rgbColor rgb="FFE74C3C"/>
      <rgbColor rgb="FF666699"/>
      <rgbColor rgb="FFF2F4F7"/>
      <rgbColor rgb="FF1B3A5C"/>
      <rgbColor rgb="FF27AE60"/>
      <rgbColor rgb="FF003300"/>
      <rgbColor rgb="FF333300"/>
      <rgbColor rgb="FFC0392B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showGridLines="0" tabSelected="1" zoomScaleNormal="100" workbookViewId="0">
      <selection activeCell="C17" sqref="C17"/>
    </sheetView>
  </sheetViews>
  <sheetFormatPr defaultColWidth="8.7109375" defaultRowHeight="15"/>
  <cols>
    <col min="1" max="1" width="6" customWidth="1"/>
    <col min="2" max="2" width="55" customWidth="1"/>
    <col min="3" max="3" width="30" customWidth="1"/>
  </cols>
  <sheetData>
    <row r="1" spans="1:3" ht="13.5" customHeight="1">
      <c r="A1" s="5" t="s">
        <v>0</v>
      </c>
      <c r="B1" s="5"/>
      <c r="C1" s="5"/>
    </row>
    <row r="2" spans="1:3" ht="19.5" customHeight="1">
      <c r="A2" s="5"/>
      <c r="B2" s="5"/>
      <c r="C2" s="5"/>
    </row>
    <row r="3" spans="1:3" ht="13.5" customHeight="1">
      <c r="A3" s="5"/>
      <c r="B3" s="5"/>
      <c r="C3" s="5"/>
    </row>
    <row r="4" spans="1:3" ht="21.75" customHeight="1">
      <c r="A4" s="4" t="s">
        <v>1</v>
      </c>
      <c r="B4" s="4"/>
      <c r="C4" s="4"/>
    </row>
    <row r="6" spans="1:3" ht="18" customHeight="1">
      <c r="B6" s="6" t="s">
        <v>2</v>
      </c>
      <c r="C6" s="7" t="s">
        <v>3</v>
      </c>
    </row>
    <row r="7" spans="1:3" ht="18" customHeight="1">
      <c r="B7" s="6" t="s">
        <v>4</v>
      </c>
      <c r="C7" s="7" t="s">
        <v>5</v>
      </c>
    </row>
    <row r="8" spans="1:3" ht="18" customHeight="1">
      <c r="B8" s="6" t="s">
        <v>6</v>
      </c>
      <c r="C8" s="134">
        <v>46062</v>
      </c>
    </row>
    <row r="9" spans="1:3" ht="18" customHeight="1">
      <c r="B9" s="6" t="s">
        <v>7</v>
      </c>
      <c r="C9" s="7" t="s">
        <v>8</v>
      </c>
    </row>
    <row r="10" spans="1:3" ht="18" customHeight="1">
      <c r="B10" s="6" t="s">
        <v>9</v>
      </c>
      <c r="C10" s="7" t="s">
        <v>10</v>
      </c>
    </row>
    <row r="11" spans="1:3" ht="18" customHeight="1">
      <c r="B11" s="6" t="s">
        <v>11</v>
      </c>
      <c r="C11" s="7" t="s">
        <v>12</v>
      </c>
    </row>
    <row r="12" spans="1:3" ht="18" customHeight="1">
      <c r="B12" s="6" t="s">
        <v>13</v>
      </c>
      <c r="C12" s="7" t="s">
        <v>14</v>
      </c>
    </row>
    <row r="13" spans="1:3" ht="18" customHeight="1">
      <c r="B13" s="6" t="s">
        <v>15</v>
      </c>
      <c r="C13" s="7" t="s">
        <v>16</v>
      </c>
    </row>
    <row r="15" spans="1:3" ht="15.75" customHeight="1">
      <c r="B15" s="8" t="s">
        <v>17</v>
      </c>
    </row>
    <row r="16" spans="1:3" ht="18" customHeight="1">
      <c r="B16" s="9" t="s">
        <v>18</v>
      </c>
      <c r="C16" s="10" t="s">
        <v>19</v>
      </c>
    </row>
    <row r="17" spans="2:3" ht="18" customHeight="1">
      <c r="B17" s="11" t="s">
        <v>20</v>
      </c>
      <c r="C17" s="10" t="s">
        <v>21</v>
      </c>
    </row>
    <row r="18" spans="2:3" ht="18" customHeight="1">
      <c r="B18" s="12" t="s">
        <v>22</v>
      </c>
      <c r="C18" s="10" t="s">
        <v>23</v>
      </c>
    </row>
    <row r="19" spans="2:3" ht="18" customHeight="1">
      <c r="B19" s="13" t="s">
        <v>24</v>
      </c>
      <c r="C19" s="10" t="s">
        <v>25</v>
      </c>
    </row>
  </sheetData>
  <mergeCells count="2">
    <mergeCell ref="A1:C3"/>
    <mergeCell ref="A4:C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showGridLines="0" zoomScaleNormal="100" workbookViewId="0">
      <pane ySplit="2" topLeftCell="A3" activePane="bottomLeft" state="frozen"/>
      <selection pane="bottomLeft" activeCell="B6" sqref="B6"/>
    </sheetView>
  </sheetViews>
  <sheetFormatPr defaultColWidth="8.7109375" defaultRowHeight="15"/>
  <cols>
    <col min="1" max="1" width="5" customWidth="1"/>
    <col min="2" max="2" width="16" customWidth="1"/>
    <col min="3" max="3" width="38" customWidth="1"/>
    <col min="4" max="4" width="14" customWidth="1"/>
    <col min="5" max="6" width="10" customWidth="1"/>
    <col min="7" max="8" width="38" customWidth="1"/>
    <col min="9" max="10" width="36" customWidth="1"/>
    <col min="11" max="11" width="14" customWidth="1"/>
    <col min="12" max="12" width="26" customWidth="1"/>
  </cols>
  <sheetData>
    <row r="1" spans="1:12" ht="25.5" customHeight="1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21.75" customHeight="1">
      <c r="A2" s="14" t="s">
        <v>27</v>
      </c>
      <c r="B2" s="14" t="s">
        <v>28</v>
      </c>
      <c r="C2" s="14" t="s">
        <v>29</v>
      </c>
      <c r="D2" s="14" t="s">
        <v>30</v>
      </c>
      <c r="E2" s="14" t="s">
        <v>31</v>
      </c>
      <c r="F2" s="14" t="s">
        <v>32</v>
      </c>
      <c r="G2" s="14" t="s">
        <v>33</v>
      </c>
      <c r="H2" s="14" t="s">
        <v>34</v>
      </c>
      <c r="I2" s="14" t="s">
        <v>35</v>
      </c>
      <c r="J2" s="14" t="s">
        <v>36</v>
      </c>
      <c r="K2" s="14" t="s">
        <v>37</v>
      </c>
      <c r="L2" s="14" t="s">
        <v>38</v>
      </c>
    </row>
    <row r="3" spans="1:12" ht="90" customHeight="1">
      <c r="A3" s="15">
        <v>1</v>
      </c>
      <c r="B3" s="16" t="s">
        <v>39</v>
      </c>
      <c r="C3" s="17" t="s">
        <v>40</v>
      </c>
      <c r="D3" s="17" t="s">
        <v>41</v>
      </c>
      <c r="E3" s="17" t="s">
        <v>42</v>
      </c>
      <c r="F3" s="18" t="s">
        <v>43</v>
      </c>
      <c r="G3" s="17" t="s">
        <v>44</v>
      </c>
      <c r="H3" s="17" t="s">
        <v>45</v>
      </c>
      <c r="I3" s="17" t="s">
        <v>46</v>
      </c>
      <c r="J3" s="19" t="s">
        <v>47</v>
      </c>
      <c r="K3" s="20" t="s">
        <v>48</v>
      </c>
      <c r="L3" s="21"/>
    </row>
    <row r="4" spans="1:12" ht="90" customHeight="1">
      <c r="A4" s="15">
        <v>2</v>
      </c>
      <c r="B4" s="16" t="s">
        <v>49</v>
      </c>
      <c r="C4" s="17" t="s">
        <v>50</v>
      </c>
      <c r="D4" s="17" t="s">
        <v>41</v>
      </c>
      <c r="E4" s="17" t="s">
        <v>51</v>
      </c>
      <c r="F4" s="18" t="s">
        <v>43</v>
      </c>
      <c r="G4" s="17" t="s">
        <v>52</v>
      </c>
      <c r="H4" s="17" t="s">
        <v>53</v>
      </c>
      <c r="I4" s="17" t="s">
        <v>54</v>
      </c>
      <c r="J4" s="19" t="s">
        <v>55</v>
      </c>
      <c r="K4" s="22" t="s">
        <v>56</v>
      </c>
      <c r="L4" s="21" t="s">
        <v>57</v>
      </c>
    </row>
    <row r="5" spans="1:12" ht="90" customHeight="1">
      <c r="A5" s="15">
        <v>3</v>
      </c>
      <c r="B5" s="16" t="s">
        <v>58</v>
      </c>
      <c r="C5" s="17" t="s">
        <v>59</v>
      </c>
      <c r="D5" s="17" t="s">
        <v>41</v>
      </c>
      <c r="E5" s="17" t="s">
        <v>42</v>
      </c>
      <c r="F5" s="23" t="s">
        <v>60</v>
      </c>
      <c r="G5" s="17" t="s">
        <v>61</v>
      </c>
      <c r="H5" s="17" t="s">
        <v>62</v>
      </c>
      <c r="I5" s="17" t="s">
        <v>63</v>
      </c>
      <c r="J5" s="19" t="s">
        <v>64</v>
      </c>
      <c r="K5" s="20" t="s">
        <v>48</v>
      </c>
      <c r="L5" s="21"/>
    </row>
    <row r="6" spans="1:12" ht="90" customHeight="1">
      <c r="A6" s="15">
        <v>4</v>
      </c>
      <c r="B6" s="16" t="s">
        <v>65</v>
      </c>
      <c r="C6" s="17" t="s">
        <v>66</v>
      </c>
      <c r="D6" s="17" t="s">
        <v>41</v>
      </c>
      <c r="E6" s="17" t="s">
        <v>67</v>
      </c>
      <c r="F6" s="23" t="s">
        <v>60</v>
      </c>
      <c r="G6" s="17" t="s">
        <v>68</v>
      </c>
      <c r="H6" s="17" t="s">
        <v>69</v>
      </c>
      <c r="I6" s="17" t="s">
        <v>70</v>
      </c>
      <c r="J6" s="19" t="s">
        <v>71</v>
      </c>
      <c r="K6" s="20" t="s">
        <v>48</v>
      </c>
      <c r="L6" s="21"/>
    </row>
    <row r="7" spans="1:12" ht="90" customHeight="1">
      <c r="A7" s="15">
        <v>5</v>
      </c>
      <c r="B7" s="16" t="s">
        <v>72</v>
      </c>
      <c r="C7" s="17" t="s">
        <v>73</v>
      </c>
      <c r="D7" s="17" t="s">
        <v>41</v>
      </c>
      <c r="E7" s="17" t="s">
        <v>74</v>
      </c>
      <c r="F7" s="24" t="s">
        <v>75</v>
      </c>
      <c r="G7" s="17" t="s">
        <v>76</v>
      </c>
      <c r="H7" s="17" t="s">
        <v>77</v>
      </c>
      <c r="I7" s="17" t="s">
        <v>78</v>
      </c>
      <c r="J7" s="19" t="s">
        <v>79</v>
      </c>
      <c r="K7" s="20" t="s">
        <v>48</v>
      </c>
      <c r="L7" s="21"/>
    </row>
    <row r="8" spans="1:12" ht="90" customHeight="1">
      <c r="A8" s="25">
        <v>6</v>
      </c>
      <c r="B8" s="26" t="s">
        <v>80</v>
      </c>
      <c r="C8" s="27" t="s">
        <v>81</v>
      </c>
      <c r="D8" s="27" t="s">
        <v>82</v>
      </c>
      <c r="E8" s="27" t="s">
        <v>42</v>
      </c>
      <c r="F8" s="18" t="s">
        <v>43</v>
      </c>
      <c r="G8" s="27" t="s">
        <v>83</v>
      </c>
      <c r="H8" s="27" t="s">
        <v>84</v>
      </c>
      <c r="I8" s="27" t="s">
        <v>85</v>
      </c>
      <c r="J8" s="28" t="s">
        <v>86</v>
      </c>
      <c r="K8" s="20" t="s">
        <v>48</v>
      </c>
      <c r="L8" s="29"/>
    </row>
    <row r="9" spans="1:12" ht="90" customHeight="1">
      <c r="A9" s="25">
        <v>7</v>
      </c>
      <c r="B9" s="26" t="s">
        <v>87</v>
      </c>
      <c r="C9" s="27" t="s">
        <v>88</v>
      </c>
      <c r="D9" s="27" t="s">
        <v>82</v>
      </c>
      <c r="E9" s="27" t="s">
        <v>42</v>
      </c>
      <c r="F9" s="23" t="s">
        <v>60</v>
      </c>
      <c r="G9" s="27" t="s">
        <v>89</v>
      </c>
      <c r="H9" s="27" t="s">
        <v>90</v>
      </c>
      <c r="I9" s="27" t="s">
        <v>91</v>
      </c>
      <c r="J9" s="28" t="s">
        <v>92</v>
      </c>
      <c r="K9" s="20" t="s">
        <v>48</v>
      </c>
      <c r="L9" s="29"/>
    </row>
    <row r="10" spans="1:12" ht="90" customHeight="1">
      <c r="A10" s="30">
        <v>8</v>
      </c>
      <c r="B10" s="31" t="s">
        <v>93</v>
      </c>
      <c r="C10" s="32" t="s">
        <v>94</v>
      </c>
      <c r="D10" s="32" t="s">
        <v>95</v>
      </c>
      <c r="E10" s="32" t="s">
        <v>42</v>
      </c>
      <c r="F10" s="18" t="s">
        <v>43</v>
      </c>
      <c r="G10" s="32" t="s">
        <v>96</v>
      </c>
      <c r="H10" s="32" t="s">
        <v>97</v>
      </c>
      <c r="I10" s="32" t="s">
        <v>98</v>
      </c>
      <c r="J10" s="33" t="s">
        <v>99</v>
      </c>
      <c r="K10" s="20" t="s">
        <v>48</v>
      </c>
      <c r="L10" s="34"/>
    </row>
    <row r="11" spans="1:12" ht="90" customHeight="1">
      <c r="A11" s="30">
        <v>9</v>
      </c>
      <c r="B11" s="31" t="s">
        <v>100</v>
      </c>
      <c r="C11" s="32" t="s">
        <v>101</v>
      </c>
      <c r="D11" s="32" t="s">
        <v>95</v>
      </c>
      <c r="E11" s="32" t="s">
        <v>51</v>
      </c>
      <c r="F11" s="23" t="s">
        <v>60</v>
      </c>
      <c r="G11" s="32" t="s">
        <v>83</v>
      </c>
      <c r="H11" s="32" t="s">
        <v>102</v>
      </c>
      <c r="I11" s="32" t="s">
        <v>103</v>
      </c>
      <c r="J11" s="33" t="s">
        <v>104</v>
      </c>
      <c r="K11" s="35" t="s">
        <v>105</v>
      </c>
      <c r="L11" s="34" t="s">
        <v>106</v>
      </c>
    </row>
    <row r="12" spans="1:12" ht="90" customHeight="1">
      <c r="A12" s="30">
        <v>10</v>
      </c>
      <c r="B12" s="31" t="s">
        <v>107</v>
      </c>
      <c r="C12" s="32" t="s">
        <v>108</v>
      </c>
      <c r="D12" s="32" t="s">
        <v>95</v>
      </c>
      <c r="E12" s="32" t="s">
        <v>109</v>
      </c>
      <c r="F12" s="24" t="s">
        <v>75</v>
      </c>
      <c r="G12" s="32" t="s">
        <v>96</v>
      </c>
      <c r="H12" s="32" t="s">
        <v>110</v>
      </c>
      <c r="I12" s="32" t="s">
        <v>111</v>
      </c>
      <c r="J12" s="33" t="s">
        <v>112</v>
      </c>
      <c r="K12" s="20" t="s">
        <v>48</v>
      </c>
      <c r="L12" s="34"/>
    </row>
    <row r="13" spans="1:12" ht="90" customHeight="1">
      <c r="A13" s="36">
        <v>11</v>
      </c>
      <c r="B13" s="37" t="s">
        <v>113</v>
      </c>
      <c r="C13" s="38" t="s">
        <v>114</v>
      </c>
      <c r="D13" s="38" t="s">
        <v>115</v>
      </c>
      <c r="E13" s="38" t="s">
        <v>42</v>
      </c>
      <c r="F13" s="18" t="s">
        <v>43</v>
      </c>
      <c r="G13" s="38" t="s">
        <v>116</v>
      </c>
      <c r="H13" s="38" t="s">
        <v>117</v>
      </c>
      <c r="I13" s="38" t="s">
        <v>118</v>
      </c>
      <c r="J13" s="39" t="s">
        <v>119</v>
      </c>
      <c r="K13" s="20" t="s">
        <v>48</v>
      </c>
      <c r="L13" s="40"/>
    </row>
    <row r="14" spans="1:12" ht="90" customHeight="1">
      <c r="A14" s="36">
        <v>12</v>
      </c>
      <c r="B14" s="37" t="s">
        <v>120</v>
      </c>
      <c r="C14" s="38" t="s">
        <v>121</v>
      </c>
      <c r="D14" s="38" t="s">
        <v>115</v>
      </c>
      <c r="E14" s="38" t="s">
        <v>51</v>
      </c>
      <c r="F14" s="23" t="s">
        <v>60</v>
      </c>
      <c r="G14" s="38" t="s">
        <v>122</v>
      </c>
      <c r="H14" s="38" t="s">
        <v>123</v>
      </c>
      <c r="I14" s="38" t="s">
        <v>124</v>
      </c>
      <c r="J14" s="39" t="s">
        <v>125</v>
      </c>
      <c r="K14" s="35" t="s">
        <v>105</v>
      </c>
      <c r="L14" s="40" t="s">
        <v>126</v>
      </c>
    </row>
    <row r="15" spans="1:12" ht="90" customHeight="1">
      <c r="A15" s="36">
        <v>13</v>
      </c>
      <c r="B15" s="37" t="s">
        <v>127</v>
      </c>
      <c r="C15" s="38" t="s">
        <v>128</v>
      </c>
      <c r="D15" s="38" t="s">
        <v>115</v>
      </c>
      <c r="E15" s="38" t="s">
        <v>109</v>
      </c>
      <c r="F15" s="24" t="s">
        <v>75</v>
      </c>
      <c r="G15" s="38" t="s">
        <v>96</v>
      </c>
      <c r="H15" s="38" t="s">
        <v>129</v>
      </c>
      <c r="I15" s="38" t="s">
        <v>130</v>
      </c>
      <c r="J15" s="39" t="s">
        <v>131</v>
      </c>
      <c r="K15" s="20" t="s">
        <v>48</v>
      </c>
      <c r="L15" s="40"/>
    </row>
    <row r="16" spans="1:12" ht="90" customHeight="1">
      <c r="A16" s="41">
        <v>14</v>
      </c>
      <c r="B16" s="42" t="s">
        <v>132</v>
      </c>
      <c r="C16" s="43" t="s">
        <v>133</v>
      </c>
      <c r="D16" s="43" t="s">
        <v>134</v>
      </c>
      <c r="E16" s="43" t="s">
        <v>42</v>
      </c>
      <c r="F16" s="18" t="s">
        <v>43</v>
      </c>
      <c r="G16" s="43" t="s">
        <v>96</v>
      </c>
      <c r="H16" s="43" t="s">
        <v>135</v>
      </c>
      <c r="I16" s="43" t="s">
        <v>136</v>
      </c>
      <c r="J16" s="44" t="s">
        <v>137</v>
      </c>
      <c r="K16" s="20" t="s">
        <v>48</v>
      </c>
      <c r="L16" s="45" t="s">
        <v>138</v>
      </c>
    </row>
    <row r="17" spans="1:12" ht="90" customHeight="1">
      <c r="A17" s="41">
        <v>15</v>
      </c>
      <c r="B17" s="42" t="s">
        <v>139</v>
      </c>
      <c r="C17" s="43" t="s">
        <v>140</v>
      </c>
      <c r="D17" s="43" t="s">
        <v>134</v>
      </c>
      <c r="E17" s="43" t="s">
        <v>141</v>
      </c>
      <c r="F17" s="23" t="s">
        <v>60</v>
      </c>
      <c r="G17" s="43" t="s">
        <v>142</v>
      </c>
      <c r="H17" s="43" t="s">
        <v>143</v>
      </c>
      <c r="I17" s="43" t="s">
        <v>144</v>
      </c>
      <c r="J17" s="44" t="s">
        <v>145</v>
      </c>
      <c r="K17" s="20" t="s">
        <v>48</v>
      </c>
      <c r="L17" s="45"/>
    </row>
    <row r="18" spans="1:12" ht="90" customHeight="1">
      <c r="A18" s="46">
        <v>16</v>
      </c>
      <c r="B18" s="47" t="s">
        <v>146</v>
      </c>
      <c r="C18" s="48" t="s">
        <v>147</v>
      </c>
      <c r="D18" s="48" t="s">
        <v>148</v>
      </c>
      <c r="E18" s="48" t="s">
        <v>42</v>
      </c>
      <c r="F18" s="23" t="s">
        <v>60</v>
      </c>
      <c r="G18" s="48" t="s">
        <v>149</v>
      </c>
      <c r="H18" s="48" t="s">
        <v>150</v>
      </c>
      <c r="I18" s="48" t="s">
        <v>151</v>
      </c>
      <c r="J18" s="49" t="s">
        <v>152</v>
      </c>
      <c r="K18" s="20" t="s">
        <v>48</v>
      </c>
      <c r="L18" s="50"/>
    </row>
    <row r="19" spans="1:12" ht="90" customHeight="1">
      <c r="A19" s="46">
        <v>17</v>
      </c>
      <c r="B19" s="47" t="s">
        <v>153</v>
      </c>
      <c r="C19" s="48" t="s">
        <v>154</v>
      </c>
      <c r="D19" s="48" t="s">
        <v>148</v>
      </c>
      <c r="E19" s="48" t="s">
        <v>42</v>
      </c>
      <c r="F19" s="24" t="s">
        <v>75</v>
      </c>
      <c r="G19" s="48" t="s">
        <v>155</v>
      </c>
      <c r="H19" s="48" t="s">
        <v>156</v>
      </c>
      <c r="I19" s="48" t="s">
        <v>157</v>
      </c>
      <c r="J19" s="49" t="s">
        <v>158</v>
      </c>
      <c r="K19" s="35" t="s">
        <v>105</v>
      </c>
      <c r="L19" s="50" t="s">
        <v>159</v>
      </c>
    </row>
    <row r="20" spans="1:12" ht="90" customHeight="1">
      <c r="A20" s="51">
        <v>18</v>
      </c>
      <c r="B20" s="52" t="s">
        <v>160</v>
      </c>
      <c r="C20" s="53" t="s">
        <v>161</v>
      </c>
      <c r="D20" s="53" t="s">
        <v>162</v>
      </c>
      <c r="E20" s="53" t="s">
        <v>42</v>
      </c>
      <c r="F20" s="18" t="s">
        <v>43</v>
      </c>
      <c r="G20" s="53" t="s">
        <v>163</v>
      </c>
      <c r="H20" s="53" t="s">
        <v>164</v>
      </c>
      <c r="I20" s="53" t="s">
        <v>165</v>
      </c>
      <c r="J20" s="54" t="s">
        <v>166</v>
      </c>
      <c r="K20" s="20" t="s">
        <v>48</v>
      </c>
      <c r="L20" s="55"/>
    </row>
    <row r="21" spans="1:12" ht="90" customHeight="1">
      <c r="A21" s="51">
        <v>19</v>
      </c>
      <c r="B21" s="52" t="s">
        <v>167</v>
      </c>
      <c r="C21" s="53" t="s">
        <v>168</v>
      </c>
      <c r="D21" s="53" t="s">
        <v>162</v>
      </c>
      <c r="E21" s="53" t="s">
        <v>169</v>
      </c>
      <c r="F21" s="23" t="s">
        <v>60</v>
      </c>
      <c r="G21" s="53" t="s">
        <v>170</v>
      </c>
      <c r="H21" s="53" t="s">
        <v>171</v>
      </c>
      <c r="I21" s="53" t="s">
        <v>172</v>
      </c>
      <c r="J21" s="54" t="s">
        <v>173</v>
      </c>
      <c r="K21" s="20" t="s">
        <v>48</v>
      </c>
      <c r="L21" s="55"/>
    </row>
    <row r="22" spans="1:12" ht="90" customHeight="1">
      <c r="A22" s="56">
        <v>20</v>
      </c>
      <c r="B22" s="57" t="s">
        <v>174</v>
      </c>
      <c r="C22" s="58" t="s">
        <v>175</v>
      </c>
      <c r="D22" s="58" t="s">
        <v>176</v>
      </c>
      <c r="E22" s="58" t="s">
        <v>42</v>
      </c>
      <c r="F22" s="23" t="s">
        <v>60</v>
      </c>
      <c r="G22" s="58" t="s">
        <v>96</v>
      </c>
      <c r="H22" s="58" t="s">
        <v>177</v>
      </c>
      <c r="I22" s="58" t="s">
        <v>178</v>
      </c>
      <c r="J22" s="59" t="s">
        <v>179</v>
      </c>
      <c r="K22" s="20" t="s">
        <v>48</v>
      </c>
      <c r="L22" s="60"/>
    </row>
    <row r="23" spans="1:12" ht="90" customHeight="1">
      <c r="A23" s="61">
        <v>21</v>
      </c>
      <c r="B23" s="62" t="s">
        <v>180</v>
      </c>
      <c r="C23" s="63" t="s">
        <v>181</v>
      </c>
      <c r="D23" s="63" t="s">
        <v>182</v>
      </c>
      <c r="E23" s="63" t="s">
        <v>42</v>
      </c>
      <c r="F23" s="23" t="s">
        <v>60</v>
      </c>
      <c r="G23" s="63" t="s">
        <v>83</v>
      </c>
      <c r="H23" s="63" t="s">
        <v>183</v>
      </c>
      <c r="I23" s="63" t="s">
        <v>184</v>
      </c>
      <c r="J23" s="64" t="s">
        <v>185</v>
      </c>
      <c r="K23" s="20" t="s">
        <v>48</v>
      </c>
      <c r="L23" s="65"/>
    </row>
    <row r="24" spans="1:12" ht="90" customHeight="1">
      <c r="A24" s="61">
        <v>22</v>
      </c>
      <c r="B24" s="62" t="s">
        <v>186</v>
      </c>
      <c r="C24" s="63" t="s">
        <v>187</v>
      </c>
      <c r="D24" s="63" t="s">
        <v>182</v>
      </c>
      <c r="E24" s="63" t="s">
        <v>42</v>
      </c>
      <c r="F24" s="24" t="s">
        <v>75</v>
      </c>
      <c r="G24" s="63" t="s">
        <v>188</v>
      </c>
      <c r="H24" s="63" t="s">
        <v>189</v>
      </c>
      <c r="I24" s="63" t="s">
        <v>190</v>
      </c>
      <c r="J24" s="64" t="s">
        <v>191</v>
      </c>
      <c r="K24" s="20" t="s">
        <v>48</v>
      </c>
      <c r="L24" s="65"/>
    </row>
    <row r="25" spans="1:12" ht="90" customHeight="1">
      <c r="A25" s="66">
        <v>23</v>
      </c>
      <c r="B25" s="67" t="s">
        <v>192</v>
      </c>
      <c r="C25" s="68" t="s">
        <v>193</v>
      </c>
      <c r="D25" s="68" t="s">
        <v>194</v>
      </c>
      <c r="E25" s="68" t="s">
        <v>42</v>
      </c>
      <c r="F25" s="23" t="s">
        <v>60</v>
      </c>
      <c r="G25" s="68" t="s">
        <v>195</v>
      </c>
      <c r="H25" s="68" t="s">
        <v>196</v>
      </c>
      <c r="I25" s="68" t="s">
        <v>197</v>
      </c>
      <c r="J25" s="69" t="s">
        <v>198</v>
      </c>
      <c r="K25" s="20" t="s">
        <v>48</v>
      </c>
      <c r="L25" s="70" t="s">
        <v>199</v>
      </c>
    </row>
    <row r="26" spans="1:12" ht="90" customHeight="1">
      <c r="A26" s="66">
        <v>24</v>
      </c>
      <c r="B26" s="67" t="s">
        <v>200</v>
      </c>
      <c r="C26" s="68" t="s">
        <v>201</v>
      </c>
      <c r="D26" s="68" t="s">
        <v>194</v>
      </c>
      <c r="E26" s="68" t="s">
        <v>202</v>
      </c>
      <c r="F26" s="23" t="s">
        <v>60</v>
      </c>
      <c r="G26" s="68" t="s">
        <v>203</v>
      </c>
      <c r="H26" s="68" t="s">
        <v>204</v>
      </c>
      <c r="I26" s="68" t="s">
        <v>205</v>
      </c>
      <c r="J26" s="69" t="s">
        <v>206</v>
      </c>
      <c r="K26" s="20" t="s">
        <v>48</v>
      </c>
      <c r="L26" s="70" t="s">
        <v>207</v>
      </c>
    </row>
    <row r="27" spans="1:12" ht="90" customHeight="1">
      <c r="A27" s="71">
        <v>25</v>
      </c>
      <c r="B27" s="72" t="s">
        <v>208</v>
      </c>
      <c r="C27" s="73" t="s">
        <v>209</v>
      </c>
      <c r="D27" s="73" t="s">
        <v>210</v>
      </c>
      <c r="E27" s="73" t="s">
        <v>211</v>
      </c>
      <c r="F27" s="24" t="s">
        <v>75</v>
      </c>
      <c r="G27" s="73" t="s">
        <v>212</v>
      </c>
      <c r="H27" s="73" t="s">
        <v>213</v>
      </c>
      <c r="I27" s="73" t="s">
        <v>214</v>
      </c>
      <c r="J27" s="74" t="s">
        <v>215</v>
      </c>
      <c r="K27" s="22" t="s">
        <v>56</v>
      </c>
      <c r="L27" s="75" t="s">
        <v>216</v>
      </c>
    </row>
    <row r="28" spans="1:12" ht="90" customHeight="1">
      <c r="A28" s="76">
        <v>26</v>
      </c>
      <c r="B28" s="77" t="s">
        <v>217</v>
      </c>
      <c r="C28" s="78" t="s">
        <v>218</v>
      </c>
      <c r="D28" s="78" t="s">
        <v>219</v>
      </c>
      <c r="E28" s="78" t="s">
        <v>219</v>
      </c>
      <c r="F28" s="18" t="s">
        <v>43</v>
      </c>
      <c r="G28" s="78" t="s">
        <v>220</v>
      </c>
      <c r="H28" s="78" t="s">
        <v>221</v>
      </c>
      <c r="I28" s="78" t="s">
        <v>222</v>
      </c>
      <c r="J28" s="79" t="s">
        <v>223</v>
      </c>
      <c r="K28" s="20" t="s">
        <v>48</v>
      </c>
      <c r="L28" s="80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showGridLines="0" topLeftCell="A16" zoomScaleNormal="100" workbookViewId="0"/>
  </sheetViews>
  <sheetFormatPr defaultColWidth="8.7109375" defaultRowHeight="15"/>
  <cols>
    <col min="1" max="1" width="3" customWidth="1"/>
    <col min="2" max="2" width="28" customWidth="1"/>
    <col min="3" max="7" width="12" customWidth="1"/>
    <col min="8" max="8" width="14" customWidth="1"/>
  </cols>
  <sheetData>
    <row r="1" spans="1:8" ht="18" customHeight="1">
      <c r="A1" s="2" t="s">
        <v>224</v>
      </c>
      <c r="B1" s="2"/>
      <c r="C1" s="2"/>
      <c r="D1" s="2"/>
      <c r="E1" s="2"/>
      <c r="F1" s="2"/>
      <c r="G1" s="2"/>
      <c r="H1" s="2"/>
    </row>
    <row r="2" spans="1:8" ht="30" customHeight="1">
      <c r="A2" s="2"/>
      <c r="B2" s="2"/>
      <c r="C2" s="2"/>
      <c r="D2" s="2"/>
      <c r="E2" s="2"/>
      <c r="F2" s="2"/>
      <c r="G2" s="2"/>
      <c r="H2" s="2"/>
    </row>
    <row r="3" spans="1:8" ht="18" customHeight="1">
      <c r="A3" s="2"/>
      <c r="B3" s="2"/>
      <c r="C3" s="2"/>
      <c r="D3" s="2"/>
      <c r="E3" s="2"/>
      <c r="F3" s="2"/>
      <c r="G3" s="2"/>
      <c r="H3" s="2"/>
    </row>
    <row r="5" spans="1:8" ht="19.5" customHeight="1">
      <c r="C5" s="81" t="s">
        <v>9</v>
      </c>
      <c r="D5" s="82" t="s">
        <v>48</v>
      </c>
      <c r="E5" s="83" t="s">
        <v>105</v>
      </c>
      <c r="F5" s="84" t="s">
        <v>56</v>
      </c>
      <c r="G5" s="85" t="s">
        <v>225</v>
      </c>
      <c r="H5" s="86" t="s">
        <v>226</v>
      </c>
    </row>
    <row r="6" spans="1:8" ht="31.5" customHeight="1">
      <c r="B6" s="87" t="s">
        <v>227</v>
      </c>
      <c r="C6" s="88">
        <f>COUNTA('All Test Cases'!B3:B1000)</f>
        <v>26</v>
      </c>
      <c r="D6" s="88">
        <f>COUNTIF('All Test Cases'!K3:K1000,"✅ Pass")</f>
        <v>21</v>
      </c>
      <c r="E6" s="88">
        <f>COUNTIF('All Test Cases'!K3:K1000,"❌ Fail")</f>
        <v>3</v>
      </c>
      <c r="F6" s="88">
        <f>COUNTIF('All Test Cases'!K3:K1000,"⚠️ Partial")</f>
        <v>2</v>
      </c>
      <c r="G6" s="88">
        <f>COUNTIF('All Test Cases'!K3:K1000,"⏭️ Skipped")</f>
        <v>0</v>
      </c>
      <c r="H6" s="89">
        <f>IF(C6&gt;0,D6/C6,0)</f>
        <v>0.80769230769230771</v>
      </c>
    </row>
    <row r="9" spans="1:8" ht="19.5" customHeight="1">
      <c r="B9" s="86" t="s">
        <v>30</v>
      </c>
      <c r="C9" s="86" t="s">
        <v>228</v>
      </c>
      <c r="D9" s="86" t="s">
        <v>18</v>
      </c>
      <c r="E9" s="86" t="s">
        <v>20</v>
      </c>
      <c r="F9" s="86" t="s">
        <v>22</v>
      </c>
      <c r="G9" s="86" t="s">
        <v>24</v>
      </c>
      <c r="H9" s="86" t="s">
        <v>226</v>
      </c>
    </row>
    <row r="10" spans="1:8" ht="18" customHeight="1">
      <c r="B10" s="90" t="s">
        <v>41</v>
      </c>
      <c r="C10" s="91">
        <v>5</v>
      </c>
      <c r="D10" s="91">
        <v>4</v>
      </c>
      <c r="E10" s="91">
        <v>0</v>
      </c>
      <c r="F10" s="91">
        <v>1</v>
      </c>
      <c r="G10" s="91">
        <v>0</v>
      </c>
      <c r="H10" s="92">
        <f>IF(C10&gt;0,D10/C10,0)</f>
        <v>0.8</v>
      </c>
    </row>
    <row r="11" spans="1:8" ht="18" customHeight="1">
      <c r="B11" s="93" t="s">
        <v>82</v>
      </c>
      <c r="C11" s="94">
        <v>2</v>
      </c>
      <c r="D11" s="94">
        <v>2</v>
      </c>
      <c r="E11" s="94">
        <v>0</v>
      </c>
      <c r="F11" s="94">
        <v>0</v>
      </c>
      <c r="G11" s="94">
        <v>0</v>
      </c>
      <c r="H11" s="95">
        <f>IF(C11&gt;0,D11/C11,0)</f>
        <v>1</v>
      </c>
    </row>
    <row r="12" spans="1:8" ht="18" customHeight="1">
      <c r="B12" s="96" t="s">
        <v>95</v>
      </c>
      <c r="C12" s="97">
        <v>3</v>
      </c>
      <c r="D12" s="97">
        <v>2</v>
      </c>
      <c r="E12" s="97">
        <v>1</v>
      </c>
      <c r="F12" s="97">
        <v>0</v>
      </c>
      <c r="G12" s="97">
        <v>0</v>
      </c>
      <c r="H12" s="98">
        <f>IF(C12&gt;0,D12/C12,0)</f>
        <v>0.66666666666666663</v>
      </c>
    </row>
    <row r="13" spans="1:8" ht="18" customHeight="1">
      <c r="B13" s="99" t="s">
        <v>115</v>
      </c>
      <c r="C13" s="100">
        <v>3</v>
      </c>
      <c r="D13" s="100">
        <v>2</v>
      </c>
      <c r="E13" s="100">
        <v>1</v>
      </c>
      <c r="F13" s="100">
        <v>0</v>
      </c>
      <c r="G13" s="100">
        <v>0</v>
      </c>
      <c r="H13" s="101">
        <f>IF(C13&gt;0,D13/C13,0)</f>
        <v>0.66666666666666663</v>
      </c>
    </row>
    <row r="14" spans="1:8" ht="18" customHeight="1">
      <c r="B14" s="102" t="s">
        <v>134</v>
      </c>
      <c r="C14" s="103">
        <v>2</v>
      </c>
      <c r="D14" s="103">
        <v>2</v>
      </c>
      <c r="E14" s="103">
        <v>0</v>
      </c>
      <c r="F14" s="103">
        <v>0</v>
      </c>
      <c r="G14" s="103">
        <v>0</v>
      </c>
      <c r="H14" s="104">
        <f>IF(C14&gt;0,D14/C14,0)</f>
        <v>1</v>
      </c>
    </row>
    <row r="15" spans="1:8" ht="18" customHeight="1">
      <c r="B15" s="105" t="s">
        <v>148</v>
      </c>
      <c r="C15" s="106">
        <v>2</v>
      </c>
      <c r="D15" s="106">
        <v>1</v>
      </c>
      <c r="E15" s="106">
        <v>1</v>
      </c>
      <c r="F15" s="106">
        <v>0</v>
      </c>
      <c r="G15" s="106">
        <v>0</v>
      </c>
      <c r="H15" s="107">
        <f>IF(C15&gt;0,D15/C15,0)</f>
        <v>0.5</v>
      </c>
    </row>
    <row r="16" spans="1:8" ht="18" customHeight="1">
      <c r="B16" s="108" t="s">
        <v>162</v>
      </c>
      <c r="C16" s="109">
        <v>2</v>
      </c>
      <c r="D16" s="109">
        <v>2</v>
      </c>
      <c r="E16" s="109">
        <v>0</v>
      </c>
      <c r="F16" s="109">
        <v>0</v>
      </c>
      <c r="G16" s="109">
        <v>0</v>
      </c>
      <c r="H16" s="110">
        <f>IF(C16&gt;0,D16/C16,0)</f>
        <v>1</v>
      </c>
    </row>
    <row r="17" spans="2:8" ht="18" customHeight="1">
      <c r="B17" s="111" t="s">
        <v>176</v>
      </c>
      <c r="C17" s="112">
        <v>1</v>
      </c>
      <c r="D17" s="112">
        <v>1</v>
      </c>
      <c r="E17" s="112">
        <v>0</v>
      </c>
      <c r="F17" s="112">
        <v>0</v>
      </c>
      <c r="G17" s="112">
        <v>0</v>
      </c>
      <c r="H17" s="113">
        <f>IF(C17&gt;0,D17/C17,0)</f>
        <v>1</v>
      </c>
    </row>
    <row r="18" spans="2:8" ht="18" customHeight="1">
      <c r="B18" s="114" t="s">
        <v>182</v>
      </c>
      <c r="C18" s="115">
        <v>2</v>
      </c>
      <c r="D18" s="115">
        <v>2</v>
      </c>
      <c r="E18" s="115">
        <v>0</v>
      </c>
      <c r="F18" s="115">
        <v>0</v>
      </c>
      <c r="G18" s="115">
        <v>0</v>
      </c>
      <c r="H18" s="116">
        <f>IF(C18&gt;0,D18/C18,0)</f>
        <v>1</v>
      </c>
    </row>
    <row r="19" spans="2:8" ht="18" customHeight="1">
      <c r="B19" s="117" t="s">
        <v>194</v>
      </c>
      <c r="C19" s="118">
        <v>2</v>
      </c>
      <c r="D19" s="118">
        <v>2</v>
      </c>
      <c r="E19" s="118">
        <v>0</v>
      </c>
      <c r="F19" s="118">
        <v>0</v>
      </c>
      <c r="G19" s="118">
        <v>0</v>
      </c>
      <c r="H19" s="119">
        <f>IF(C19&gt;0,D19/C19,0)</f>
        <v>1</v>
      </c>
    </row>
    <row r="20" spans="2:8" ht="18" customHeight="1">
      <c r="B20" s="120" t="s">
        <v>210</v>
      </c>
      <c r="C20" s="121">
        <v>1</v>
      </c>
      <c r="D20" s="121">
        <v>0</v>
      </c>
      <c r="E20" s="121">
        <v>0</v>
      </c>
      <c r="F20" s="121">
        <v>1</v>
      </c>
      <c r="G20" s="121">
        <v>0</v>
      </c>
      <c r="H20" s="122">
        <f>IF(C20&gt;0,D20/C20,0)</f>
        <v>0</v>
      </c>
    </row>
    <row r="21" spans="2:8" ht="18" customHeight="1">
      <c r="B21" s="123" t="s">
        <v>219</v>
      </c>
      <c r="C21" s="124">
        <v>1</v>
      </c>
      <c r="D21" s="124">
        <v>1</v>
      </c>
      <c r="E21" s="124">
        <v>0</v>
      </c>
      <c r="F21" s="124">
        <v>0</v>
      </c>
      <c r="G21" s="124">
        <v>0</v>
      </c>
      <c r="H21" s="125">
        <f>IF(C21&gt;0,D21/C21,0)</f>
        <v>1</v>
      </c>
    </row>
    <row r="22" spans="2:8" ht="21.75" customHeight="1">
      <c r="B22" s="126" t="s">
        <v>229</v>
      </c>
      <c r="C22" s="126">
        <f>SUM(C10:C21)</f>
        <v>26</v>
      </c>
      <c r="D22" s="126">
        <f>SUM(D10:D21)</f>
        <v>21</v>
      </c>
      <c r="E22" s="126">
        <f>SUM(E10:E21)</f>
        <v>3</v>
      </c>
      <c r="F22" s="126">
        <f>SUM(F10:F21)</f>
        <v>2</v>
      </c>
      <c r="G22" s="126">
        <f>SUM(G10:G21)</f>
        <v>0</v>
      </c>
    </row>
  </sheetData>
  <mergeCells count="1">
    <mergeCell ref="A1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showGridLines="0" zoomScaleNormal="100" workbookViewId="0">
      <pane ySplit="2" topLeftCell="C3" activePane="bottomLeft" state="frozen"/>
      <selection pane="bottomLeft" activeCell="G7" sqref="G7"/>
    </sheetView>
  </sheetViews>
  <sheetFormatPr defaultColWidth="8.7109375" defaultRowHeight="15"/>
  <cols>
    <col min="1" max="1" width="5" customWidth="1"/>
    <col min="2" max="2" width="14" customWidth="1"/>
    <col min="3" max="3" width="34" customWidth="1"/>
    <col min="4" max="4" width="16" customWidth="1"/>
    <col min="5" max="5" width="12" customWidth="1"/>
    <col min="6" max="6" width="19.85546875" customWidth="1"/>
    <col min="7" max="8" width="30" customWidth="1"/>
    <col min="9" max="9" width="30.42578125" customWidth="1"/>
  </cols>
  <sheetData>
    <row r="1" spans="1:9" ht="24" customHeight="1">
      <c r="A1" s="1" t="s">
        <v>230</v>
      </c>
      <c r="B1" s="1"/>
      <c r="C1" s="1"/>
      <c r="D1" s="1"/>
      <c r="E1" s="1"/>
      <c r="F1" s="1"/>
      <c r="G1" s="1"/>
      <c r="H1" s="1"/>
      <c r="I1" s="1"/>
    </row>
    <row r="2" spans="1:9" ht="19.5" customHeight="1">
      <c r="A2" s="127" t="s">
        <v>27</v>
      </c>
      <c r="B2" s="127" t="s">
        <v>231</v>
      </c>
      <c r="C2" s="127" t="s">
        <v>232</v>
      </c>
      <c r="D2" s="127" t="s">
        <v>30</v>
      </c>
      <c r="E2" s="127" t="s">
        <v>233</v>
      </c>
      <c r="F2" s="127" t="s">
        <v>234</v>
      </c>
      <c r="G2" s="127" t="s">
        <v>235</v>
      </c>
      <c r="H2" s="127" t="s">
        <v>236</v>
      </c>
      <c r="I2" s="127" t="s">
        <v>37</v>
      </c>
    </row>
    <row r="3" spans="1:9" ht="72" customHeight="1">
      <c r="A3" s="128">
        <v>1</v>
      </c>
      <c r="B3" s="129" t="s">
        <v>237</v>
      </c>
      <c r="C3" s="130" t="s">
        <v>238</v>
      </c>
      <c r="D3" s="130" t="s">
        <v>95</v>
      </c>
      <c r="E3" s="130" t="s">
        <v>239</v>
      </c>
      <c r="F3" s="130" t="s">
        <v>100</v>
      </c>
      <c r="G3" s="130" t="s">
        <v>240</v>
      </c>
      <c r="H3" s="130" t="s">
        <v>241</v>
      </c>
      <c r="I3" s="130" t="s">
        <v>242</v>
      </c>
    </row>
    <row r="4" spans="1:9" ht="72" customHeight="1">
      <c r="A4" s="131">
        <v>2</v>
      </c>
      <c r="B4" s="132" t="s">
        <v>243</v>
      </c>
      <c r="C4" s="133" t="s">
        <v>244</v>
      </c>
      <c r="D4" s="133" t="s">
        <v>245</v>
      </c>
      <c r="E4" s="133" t="s">
        <v>246</v>
      </c>
      <c r="F4" s="133" t="s">
        <v>132</v>
      </c>
      <c r="G4" s="133" t="s">
        <v>247</v>
      </c>
      <c r="H4" s="133" t="s">
        <v>248</v>
      </c>
      <c r="I4" s="133" t="s">
        <v>242</v>
      </c>
    </row>
    <row r="5" spans="1:9" ht="72" customHeight="1">
      <c r="A5" s="128">
        <v>3</v>
      </c>
      <c r="B5" s="129" t="s">
        <v>249</v>
      </c>
      <c r="C5" s="130" t="s">
        <v>250</v>
      </c>
      <c r="D5" s="130" t="s">
        <v>148</v>
      </c>
      <c r="E5" s="130" t="s">
        <v>239</v>
      </c>
      <c r="F5" s="130" t="s">
        <v>153</v>
      </c>
      <c r="G5" s="130" t="s">
        <v>251</v>
      </c>
      <c r="H5" s="130" t="s">
        <v>252</v>
      </c>
      <c r="I5" s="130" t="s">
        <v>242</v>
      </c>
    </row>
    <row r="6" spans="1:9" ht="72" customHeight="1">
      <c r="A6" s="131">
        <v>4</v>
      </c>
      <c r="B6" s="132" t="s">
        <v>253</v>
      </c>
      <c r="C6" s="133" t="s">
        <v>254</v>
      </c>
      <c r="D6" s="133" t="s">
        <v>41</v>
      </c>
      <c r="E6" s="133" t="s">
        <v>246</v>
      </c>
      <c r="F6" s="133" t="s">
        <v>49</v>
      </c>
      <c r="G6" s="133" t="s">
        <v>255</v>
      </c>
      <c r="H6" s="133" t="s">
        <v>256</v>
      </c>
      <c r="I6" s="133" t="s">
        <v>242</v>
      </c>
    </row>
    <row r="7" spans="1:9" ht="72" customHeight="1">
      <c r="A7" s="128">
        <v>5</v>
      </c>
      <c r="B7" s="129" t="s">
        <v>257</v>
      </c>
      <c r="C7" s="130" t="s">
        <v>258</v>
      </c>
      <c r="D7" s="130" t="s">
        <v>115</v>
      </c>
      <c r="E7" s="130" t="s">
        <v>259</v>
      </c>
      <c r="F7" s="130" t="s">
        <v>120</v>
      </c>
      <c r="G7" s="130" t="s">
        <v>260</v>
      </c>
      <c r="H7" s="130" t="s">
        <v>261</v>
      </c>
      <c r="I7" s="130" t="s">
        <v>242</v>
      </c>
    </row>
    <row r="8" spans="1:9" ht="72" customHeight="1">
      <c r="A8" s="131">
        <v>6</v>
      </c>
      <c r="B8" s="132" t="s">
        <v>262</v>
      </c>
      <c r="C8" s="133" t="s">
        <v>263</v>
      </c>
      <c r="D8" s="133" t="s">
        <v>95</v>
      </c>
      <c r="E8" s="133" t="s">
        <v>246</v>
      </c>
      <c r="F8" s="133" t="s">
        <v>100</v>
      </c>
      <c r="G8" s="133" t="s">
        <v>264</v>
      </c>
      <c r="H8" s="133" t="s">
        <v>265</v>
      </c>
      <c r="I8" s="133" t="s">
        <v>266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2026-04-19T19:55:11Z</dcterms:created>
  <dcterms:modified xsi:type="dcterms:W3CDTF">2026-04-22T11:56:20Z</dcterms:modified>
  <cp:category/>
  <cp:contentStatus/>
</cp:coreProperties>
</file>